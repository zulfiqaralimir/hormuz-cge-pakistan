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B9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B10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B11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B12" authorId="0">
      <text>
        <r>
          <rPr>
            <sz val="10"/>
            <rFont val="Arial"/>
            <family val="2"/>
          </rPr>
          <t xml:space="preserve">LFS 2014-15: employed x avg wage x 12</t>
        </r>
      </text>
    </comment>
    <comment ref="B13" authorId="0">
      <text>
        <r>
          <rPr>
            <sz val="10"/>
            <rFont val="Arial"/>
            <family val="2"/>
          </rPr>
          <t xml:space="preserve">GVA (IOT) minus labour</t>
        </r>
      </text>
    </comment>
    <comment ref="B16" authorId="0">
      <text>
        <r>
          <rPr>
            <sz val="10"/>
            <rFont val="Arial"/>
            <family val="2"/>
          </rPr>
          <t xml:space="preserve">Product taxes less subsidies on inputs, IOT</t>
        </r>
      </text>
    </comment>
    <comment ref="C8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C9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C10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C11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C12" authorId="0">
      <text>
        <r>
          <rPr>
            <sz val="10"/>
            <rFont val="Arial"/>
            <family val="2"/>
          </rPr>
          <t xml:space="preserve">LFS 2014-15: employed x avg wage x 12</t>
        </r>
      </text>
    </comment>
    <comment ref="C13" authorId="0">
      <text>
        <r>
          <rPr>
            <sz val="10"/>
            <rFont val="Arial"/>
            <family val="2"/>
          </rPr>
          <t xml:space="preserve">GVA (IOT) minus labour</t>
        </r>
      </text>
    </comment>
    <comment ref="C16" authorId="0">
      <text>
        <r>
          <rPr>
            <sz val="10"/>
            <rFont val="Arial"/>
            <family val="2"/>
          </rPr>
          <t xml:space="preserve">Product taxes less subsidies on inputs, IOT</t>
        </r>
      </text>
    </comment>
    <comment ref="D8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D9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D10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D11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D12" authorId="0">
      <text>
        <r>
          <rPr>
            <sz val="10"/>
            <rFont val="Arial"/>
            <family val="2"/>
          </rPr>
          <t xml:space="preserve">LFS 2014-15: employed x avg wage x 12</t>
        </r>
      </text>
    </comment>
    <comment ref="D13" authorId="0">
      <text>
        <r>
          <rPr>
            <sz val="10"/>
            <rFont val="Arial"/>
            <family val="2"/>
          </rPr>
          <t xml:space="preserve">GVA (IOT) minus labour</t>
        </r>
      </text>
    </comment>
    <comment ref="D16" authorId="0">
      <text>
        <r>
          <rPr>
            <sz val="10"/>
            <rFont val="Arial"/>
            <family val="2"/>
          </rPr>
          <t xml:space="preserve">Product taxes less subsidies on inputs, IOT</t>
        </r>
      </text>
    </comment>
    <comment ref="E8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E9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E10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E11" authorId="0">
      <text>
        <r>
          <rPr>
            <sz val="10"/>
            <rFont val="Arial"/>
            <family val="2"/>
          </rPr>
          <t xml:space="preserve">Intermediate use, PBS IOT 2015-16</t>
        </r>
      </text>
    </comment>
    <comment ref="E12" authorId="0">
      <text>
        <r>
          <rPr>
            <sz val="10"/>
            <rFont val="Arial"/>
            <family val="2"/>
          </rPr>
          <t xml:space="preserve">LFS 2014-15: employed x avg wage x 12</t>
        </r>
      </text>
    </comment>
    <comment ref="E13" authorId="0">
      <text>
        <r>
          <rPr>
            <sz val="10"/>
            <rFont val="Arial"/>
            <family val="2"/>
          </rPr>
          <t xml:space="preserve">GVA (IOT) minus labour</t>
        </r>
      </text>
    </comment>
    <comment ref="E16" authorId="0">
      <text>
        <r>
          <rPr>
            <sz val="10"/>
            <rFont val="Arial"/>
            <family val="2"/>
          </rPr>
          <t xml:space="preserve">Product taxes less subsidies on inputs, IOT</t>
        </r>
      </text>
    </comment>
    <comment ref="F4" authorId="0">
      <text>
        <r>
          <rPr>
            <sz val="10"/>
            <rFont val="Arial"/>
            <family val="2"/>
          </rPr>
          <t xml:space="preserve">Gross output (basic prices), PBS IOT 2015-16</t>
        </r>
      </text>
    </comment>
    <comment ref="F17" authorId="0">
      <text>
        <r>
          <rPr>
            <sz val="10"/>
            <rFont val="Arial"/>
            <family val="2"/>
          </rPr>
          <t xml:space="preserve">Imports, IOT</t>
        </r>
      </text>
    </comment>
    <comment ref="G5" authorId="0">
      <text>
        <r>
          <rPr>
            <sz val="10"/>
            <rFont val="Arial"/>
            <family val="2"/>
          </rPr>
          <t xml:space="preserve">Gross output (basic prices), PBS IOT 2015-16</t>
        </r>
      </text>
    </comment>
    <comment ref="G17" authorId="0">
      <text>
        <r>
          <rPr>
            <sz val="10"/>
            <rFont val="Arial"/>
            <family val="2"/>
          </rPr>
          <t xml:space="preserve">Imports, IOT</t>
        </r>
      </text>
    </comment>
    <comment ref="H6" authorId="0">
      <text>
        <r>
          <rPr>
            <sz val="10"/>
            <rFont val="Arial"/>
            <family val="2"/>
          </rPr>
          <t xml:space="preserve">Gross output (basic prices), PBS IOT 2015-16</t>
        </r>
      </text>
    </comment>
    <comment ref="H17" authorId="0">
      <text>
        <r>
          <rPr>
            <sz val="10"/>
            <rFont val="Arial"/>
            <family val="2"/>
          </rPr>
          <t xml:space="preserve">Imports, IOT</t>
        </r>
      </text>
    </comment>
    <comment ref="I7" authorId="0">
      <text>
        <r>
          <rPr>
            <sz val="10"/>
            <rFont val="Arial"/>
            <family val="2"/>
          </rPr>
          <t xml:space="preserve">Gross output (basic prices), PBS IOT 2015-16</t>
        </r>
      </text>
    </comment>
    <comment ref="I17" authorId="0">
      <text>
        <r>
          <rPr>
            <sz val="10"/>
            <rFont val="Arial"/>
            <family val="2"/>
          </rPr>
          <t xml:space="preserve">Imports, IOT</t>
        </r>
      </text>
    </comment>
    <comment ref="J14" authorId="0">
      <text>
        <r>
          <rPr>
            <sz val="10"/>
            <rFont val="Arial"/>
            <family val="2"/>
          </rPr>
          <t xml:space="preserve">Urban share = wages + 2/3 of mixed income (HIES Table 11)</t>
        </r>
      </text>
    </comment>
    <comment ref="K14" authorId="0">
      <text>
        <r>
          <rPr>
            <sz val="10"/>
            <rFont val="Arial"/>
            <family val="2"/>
          </rPr>
          <t xml:space="preserve">Urban share = 1/3 mixed income + property + owner-occupied housing (HIES)</t>
        </r>
      </text>
    </comment>
    <comment ref="L8" authorId="0">
      <text>
        <r>
          <rPr>
            <sz val="10"/>
            <rFont val="Arial"/>
            <family val="2"/>
          </rPr>
          <t xml:space="preserve">HH+NPISH consumption x urban share 46.65% (HIES)</t>
        </r>
      </text>
    </comment>
    <comment ref="L9" authorId="0">
      <text>
        <r>
          <rPr>
            <sz val="10"/>
            <rFont val="Arial"/>
            <family val="2"/>
          </rPr>
          <t xml:space="preserve">HH+NPISH consumption x urban share 46.65% (HIES)</t>
        </r>
      </text>
    </comment>
    <comment ref="L10" authorId="0">
      <text>
        <r>
          <rPr>
            <sz val="10"/>
            <rFont val="Arial"/>
            <family val="2"/>
          </rPr>
          <t xml:space="preserve">HH+NPISH consumption x urban share 46.65% (HIES)</t>
        </r>
      </text>
    </comment>
    <comment ref="L11" authorId="0">
      <text>
        <r>
          <rPr>
            <sz val="10"/>
            <rFont val="Arial"/>
            <family val="2"/>
          </rPr>
          <t xml:space="preserve">HH+NPISH consumption x urban share 46.65% (HIES)</t>
        </r>
      </text>
    </comment>
    <comment ref="L16" authorId="0">
      <text>
        <r>
          <rPr>
            <sz val="10"/>
            <rFont val="Arial"/>
            <family val="2"/>
          </rPr>
          <t xml:space="preserve">Direct taxes (MoF) x income share + product taxes on consumption (IOT)</t>
        </r>
      </text>
    </comment>
    <comment ref="L18" authorId="0">
      <text>
        <r>
          <rPr>
            <sz val="10"/>
            <rFont val="Arial"/>
            <family val="2"/>
          </rPr>
          <t xml:space="preserve">Savings = residual (account income − other spending)</t>
        </r>
      </text>
    </comment>
    <comment ref="M8" authorId="0">
      <text>
        <r>
          <rPr>
            <sz val="10"/>
            <rFont val="Arial"/>
            <family val="2"/>
          </rPr>
          <t xml:space="preserve">HH+NPISH consumption x rural share (HIES)</t>
        </r>
      </text>
    </comment>
    <comment ref="M9" authorId="0">
      <text>
        <r>
          <rPr>
            <sz val="10"/>
            <rFont val="Arial"/>
            <family val="2"/>
          </rPr>
          <t xml:space="preserve">HH+NPISH consumption x rural share (HIES)</t>
        </r>
      </text>
    </comment>
    <comment ref="M10" authorId="0">
      <text>
        <r>
          <rPr>
            <sz val="10"/>
            <rFont val="Arial"/>
            <family val="2"/>
          </rPr>
          <t xml:space="preserve">HH+NPISH consumption x rural share (HIES)</t>
        </r>
      </text>
    </comment>
    <comment ref="M11" authorId="0">
      <text>
        <r>
          <rPr>
            <sz val="10"/>
            <rFont val="Arial"/>
            <family val="2"/>
          </rPr>
          <t xml:space="preserve">HH+NPISH consumption x rural share (HIES)</t>
        </r>
      </text>
    </comment>
    <comment ref="M18" authorId="0">
      <text>
        <r>
          <rPr>
            <sz val="10"/>
            <rFont val="Arial"/>
            <family val="2"/>
          </rPr>
          <t xml:space="preserve">Savings = residual (account income − other spending)</t>
        </r>
      </text>
    </comment>
    <comment ref="N8" authorId="0">
      <text>
        <r>
          <rPr>
            <sz val="10"/>
            <rFont val="Arial"/>
            <family val="2"/>
          </rPr>
          <t xml:space="preserve">Govt final consumption, IOT</t>
        </r>
      </text>
    </comment>
    <comment ref="N9" authorId="0">
      <text>
        <r>
          <rPr>
            <sz val="10"/>
            <rFont val="Arial"/>
            <family val="2"/>
          </rPr>
          <t xml:space="preserve">Govt final consumption, IOT</t>
        </r>
      </text>
    </comment>
    <comment ref="N10" authorId="0">
      <text>
        <r>
          <rPr>
            <sz val="10"/>
            <rFont val="Arial"/>
            <family val="2"/>
          </rPr>
          <t xml:space="preserve">Govt final consumption, IOT</t>
        </r>
      </text>
    </comment>
    <comment ref="N11" authorId="0">
      <text>
        <r>
          <rPr>
            <sz val="10"/>
            <rFont val="Arial"/>
            <family val="2"/>
          </rPr>
          <t xml:space="preserve">Govt final consumption, IOT</t>
        </r>
      </text>
    </comment>
    <comment ref="N14" authorId="0">
      <text>
        <r>
          <rPr>
            <sz val="10"/>
            <rFont val="Arial"/>
            <family val="2"/>
          </rPr>
          <t xml:space="preserve">Pensions 222.5bn + domestic interest 1,150.8bn (MoF FY16) x income share</t>
        </r>
      </text>
    </comment>
    <comment ref="N17" authorId="0">
      <text>
        <r>
          <rPr>
            <sz val="10"/>
            <rFont val="Arial"/>
            <family val="2"/>
          </rPr>
          <t xml:space="preserve">Foreign interest (MoF FY16)</t>
        </r>
      </text>
    </comment>
    <comment ref="N18" authorId="0">
      <text>
        <r>
          <rPr>
            <sz val="10"/>
            <rFont val="Arial"/>
            <family val="2"/>
          </rPr>
          <t xml:space="preserve">Savings = residual (account income − other spending)</t>
        </r>
      </text>
    </comment>
    <comment ref="O8" authorId="0">
      <text>
        <r>
          <rPr>
            <sz val="10"/>
            <rFont val="Arial"/>
            <family val="2"/>
          </rPr>
          <t xml:space="preserve">Exports, IOT</t>
        </r>
      </text>
    </comment>
    <comment ref="O9" authorId="0">
      <text>
        <r>
          <rPr>
            <sz val="10"/>
            <rFont val="Arial"/>
            <family val="2"/>
          </rPr>
          <t xml:space="preserve">Exports, IOT</t>
        </r>
      </text>
    </comment>
    <comment ref="O10" authorId="0">
      <text>
        <r>
          <rPr>
            <sz val="10"/>
            <rFont val="Arial"/>
            <family val="2"/>
          </rPr>
          <t xml:space="preserve">Exports, IOT</t>
        </r>
      </text>
    </comment>
    <comment ref="O11" authorId="0">
      <text>
        <r>
          <rPr>
            <sz val="10"/>
            <rFont val="Arial"/>
            <family val="2"/>
          </rPr>
          <t xml:space="preserve">Exports, IOT</t>
        </r>
      </text>
    </comment>
    <comment ref="O14" authorId="0">
      <text>
        <r>
          <rPr>
            <sz val="10"/>
            <rFont val="Arial"/>
            <family val="2"/>
          </rPr>
          <t xml:space="preserve">Remittances $19.92bn x 104.2 (SBP), 36% urban (HIES)</t>
        </r>
      </text>
    </comment>
    <comment ref="O16" authorId="0">
      <text>
        <r>
          <rPr>
            <sz val="10"/>
            <rFont val="Arial"/>
            <family val="2"/>
          </rPr>
          <t xml:space="preserve">Product taxes on exports, IOT</t>
        </r>
      </text>
    </comment>
    <comment ref="O18" authorId="0">
      <text>
        <r>
          <rPr>
            <sz val="10"/>
            <rFont val="Arial"/>
            <family val="2"/>
          </rPr>
          <t xml:space="preserve">Savings = residual (account income − other spending)</t>
        </r>
      </text>
    </comment>
    <comment ref="P8" authorId="0">
      <text>
        <r>
          <rPr>
            <sz val="10"/>
            <rFont val="Arial"/>
            <family val="2"/>
          </rPr>
          <t xml:space="preserve">GFCF+valuables+inventories, IOT</t>
        </r>
      </text>
    </comment>
    <comment ref="P9" authorId="0">
      <text>
        <r>
          <rPr>
            <sz val="10"/>
            <rFont val="Arial"/>
            <family val="2"/>
          </rPr>
          <t xml:space="preserve">GFCF+valuables+inventories, IOT</t>
        </r>
      </text>
    </comment>
    <comment ref="P10" authorId="0">
      <text>
        <r>
          <rPr>
            <sz val="10"/>
            <rFont val="Arial"/>
            <family val="2"/>
          </rPr>
          <t xml:space="preserve">GFCF+valuables+inventories, IOT</t>
        </r>
      </text>
    </comment>
    <comment ref="P11" authorId="0">
      <text>
        <r>
          <rPr>
            <sz val="10"/>
            <rFont val="Arial"/>
            <family val="2"/>
          </rPr>
          <t xml:space="preserve">GFCF+valuables+inventories, IOT</t>
        </r>
      </text>
    </comment>
    <comment ref="P16" authorId="0">
      <text>
        <r>
          <rPr>
            <sz val="10"/>
            <rFont val="Arial"/>
            <family val="2"/>
          </rPr>
          <t xml:space="preserve">Product taxes on investment, IOT</t>
        </r>
      </text>
    </comment>
  </commentList>
</comments>
</file>

<file path=xl/sharedStrings.xml><?xml version="1.0" encoding="utf-8"?>
<sst xmlns="http://schemas.openxmlformats.org/spreadsheetml/2006/main" count="37" uniqueCount="21">
  <si>
    <t xml:space="preserve">Pakistan SAM 2015-16 (PKR million) — rows = receipts, columns = payments</t>
  </si>
  <si>
    <t xml:space="preserve">Act_Agri</t>
  </si>
  <si>
    <t xml:space="preserve">Act_Energy</t>
  </si>
  <si>
    <t xml:space="preserve">Act_Mfg</t>
  </si>
  <si>
    <t xml:space="preserve">Act_Serv</t>
  </si>
  <si>
    <t xml:space="preserve">Com_Agri</t>
  </si>
  <si>
    <t xml:space="preserve">Com_Energy</t>
  </si>
  <si>
    <t xml:space="preserve">Com_Mfg</t>
  </si>
  <si>
    <t xml:space="preserve">Com_Serv</t>
  </si>
  <si>
    <t xml:space="preserve">Labour</t>
  </si>
  <si>
    <t xml:space="preserve">Capital</t>
  </si>
  <si>
    <t xml:space="preserve">HH_Urban</t>
  </si>
  <si>
    <t xml:space="preserve">HH_Rural</t>
  </si>
  <si>
    <t xml:space="preserve">Govt</t>
  </si>
  <si>
    <t xml:space="preserve">RoW</t>
  </si>
  <si>
    <t xml:space="preserve">S-I</t>
  </si>
  <si>
    <t xml:space="preserve">TOTAL</t>
  </si>
  <si>
    <t xml:space="preserve">Row − Col (check)</t>
  </si>
  <si>
    <t xml:space="preserve">Blue = data (hover for source). Yellow = savings residuals (formulas).</t>
  </si>
  <si>
    <t xml:space="preserve">Sources: PBS SUT/IOT 2015-16; LFS 2014-15; HIES 2015-16; MoF/SBP fiscal &amp; BoP FY16.</t>
  </si>
  <si>
    <t xml:space="preserve">Energy = PSIC 05-09 mining, 19 refining, 35 electricity/gas. Govt includes the tax account.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</si>
</sst>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"/>
    <numFmt numFmtId="167" formatCode="#,##0;\(#,##0\);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7" min="2" style="0" width="12"/>
  </cols>
  <sheetData>
    <row r="1" customFormat="false" ht="15" hidden="false" customHeight="false" outlineLevel="0" collapsed="false">
      <c r="A1" s="1" t="s">
        <v>0</v>
      </c>
    </row>
    <row r="3" customFormat="false" ht="69.75" hidden="false" customHeight="true" outlineLevel="0" collapsed="false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4" t="s">
        <v>16</v>
      </c>
    </row>
    <row r="4" customFormat="false" ht="15" hidden="false" customHeight="false" outlineLevel="0" collapsed="false">
      <c r="A4" s="4" t="s">
        <v>1</v>
      </c>
      <c r="B4" s="5"/>
      <c r="C4" s="5"/>
      <c r="D4" s="5"/>
      <c r="E4" s="5"/>
      <c r="F4" s="6" t="n">
        <v>9778515</v>
      </c>
      <c r="G4" s="5"/>
      <c r="H4" s="5"/>
      <c r="I4" s="5"/>
      <c r="J4" s="5"/>
      <c r="K4" s="5"/>
      <c r="L4" s="5"/>
      <c r="M4" s="5"/>
      <c r="N4" s="5"/>
      <c r="O4" s="5"/>
      <c r="P4" s="5"/>
      <c r="Q4" s="7" t="n">
        <f aca="false">SUM(B4:P4)</f>
        <v>9778515</v>
      </c>
    </row>
    <row r="5" customFormat="false" ht="15" hidden="false" customHeight="false" outlineLevel="0" collapsed="false">
      <c r="A5" s="4" t="s">
        <v>2</v>
      </c>
      <c r="B5" s="5"/>
      <c r="C5" s="5"/>
      <c r="D5" s="5"/>
      <c r="E5" s="5"/>
      <c r="F5" s="5"/>
      <c r="G5" s="6" t="n">
        <v>3828311.7</v>
      </c>
      <c r="H5" s="5"/>
      <c r="I5" s="5"/>
      <c r="J5" s="5"/>
      <c r="K5" s="5"/>
      <c r="L5" s="5"/>
      <c r="M5" s="5"/>
      <c r="N5" s="5"/>
      <c r="O5" s="5"/>
      <c r="P5" s="5"/>
      <c r="Q5" s="7" t="n">
        <f aca="false">SUM(B5:P5)</f>
        <v>3828311.7</v>
      </c>
    </row>
    <row r="6" customFormat="false" ht="15" hidden="false" customHeight="false" outlineLevel="0" collapsed="false">
      <c r="A6" s="4" t="s">
        <v>3</v>
      </c>
      <c r="B6" s="5"/>
      <c r="C6" s="5"/>
      <c r="D6" s="5"/>
      <c r="E6" s="5"/>
      <c r="F6" s="5"/>
      <c r="G6" s="5"/>
      <c r="H6" s="6" t="n">
        <v>12816959.4</v>
      </c>
      <c r="I6" s="5"/>
      <c r="J6" s="5"/>
      <c r="K6" s="5"/>
      <c r="L6" s="5"/>
      <c r="M6" s="5"/>
      <c r="N6" s="5"/>
      <c r="O6" s="5"/>
      <c r="P6" s="5"/>
      <c r="Q6" s="7" t="n">
        <f aca="false">SUM(B6:P6)</f>
        <v>12816959.4</v>
      </c>
    </row>
    <row r="7" customFormat="false" ht="15" hidden="false" customHeight="false" outlineLevel="0" collapsed="false">
      <c r="A7" s="4" t="s">
        <v>4</v>
      </c>
      <c r="B7" s="5"/>
      <c r="C7" s="5"/>
      <c r="D7" s="5"/>
      <c r="E7" s="5"/>
      <c r="F7" s="5"/>
      <c r="G7" s="5"/>
      <c r="H7" s="5"/>
      <c r="I7" s="6" t="n">
        <v>27434916</v>
      </c>
      <c r="J7" s="5"/>
      <c r="K7" s="5"/>
      <c r="L7" s="5"/>
      <c r="M7" s="5"/>
      <c r="N7" s="5"/>
      <c r="O7" s="5"/>
      <c r="P7" s="5"/>
      <c r="Q7" s="7" t="n">
        <f aca="false">SUM(B7:P7)</f>
        <v>27434916</v>
      </c>
    </row>
    <row r="8" customFormat="false" ht="15" hidden="false" customHeight="false" outlineLevel="0" collapsed="false">
      <c r="A8" s="4" t="s">
        <v>5</v>
      </c>
      <c r="B8" s="6" t="n">
        <v>1268617.7</v>
      </c>
      <c r="C8" s="6" t="n">
        <v>10535.7</v>
      </c>
      <c r="D8" s="6" t="n">
        <v>3342259.2</v>
      </c>
      <c r="E8" s="6" t="n">
        <v>95572.4</v>
      </c>
      <c r="F8" s="5"/>
      <c r="G8" s="5"/>
      <c r="H8" s="5"/>
      <c r="I8" s="5"/>
      <c r="J8" s="5"/>
      <c r="K8" s="5"/>
      <c r="L8" s="6" t="n">
        <v>2204208.3</v>
      </c>
      <c r="M8" s="6" t="n">
        <v>2520782.7</v>
      </c>
      <c r="N8" s="6" t="n">
        <v>0</v>
      </c>
      <c r="O8" s="6" t="n">
        <v>74762.8</v>
      </c>
      <c r="P8" s="6" t="n">
        <v>694328.6</v>
      </c>
      <c r="Q8" s="7" t="n">
        <f aca="false">SUM(B8:P8)</f>
        <v>10211067.4</v>
      </c>
    </row>
    <row r="9" customFormat="false" ht="15" hidden="false" customHeight="false" outlineLevel="0" collapsed="false">
      <c r="A9" s="4" t="s">
        <v>6</v>
      </c>
      <c r="B9" s="6" t="n">
        <v>25392.9</v>
      </c>
      <c r="C9" s="6" t="n">
        <v>1756294.9</v>
      </c>
      <c r="D9" s="6" t="n">
        <v>488496.9</v>
      </c>
      <c r="E9" s="6" t="n">
        <v>1477596.6</v>
      </c>
      <c r="F9" s="5"/>
      <c r="G9" s="5"/>
      <c r="H9" s="5"/>
      <c r="I9" s="5"/>
      <c r="J9" s="5"/>
      <c r="K9" s="5"/>
      <c r="L9" s="6" t="n">
        <v>415154</v>
      </c>
      <c r="M9" s="6" t="n">
        <v>474779.6</v>
      </c>
      <c r="N9" s="6" t="n">
        <v>0</v>
      </c>
      <c r="O9" s="6" t="n">
        <v>31904.1</v>
      </c>
      <c r="P9" s="6" t="n">
        <v>20520.8</v>
      </c>
      <c r="Q9" s="7" t="n">
        <f aca="false">SUM(B9:P9)</f>
        <v>4690139.8</v>
      </c>
    </row>
    <row r="10" customFormat="false" ht="15" hidden="false" customHeight="false" outlineLevel="0" collapsed="false">
      <c r="A10" s="4" t="s">
        <v>7</v>
      </c>
      <c r="B10" s="6" t="n">
        <v>485970</v>
      </c>
      <c r="C10" s="6" t="n">
        <v>80972.9</v>
      </c>
      <c r="D10" s="6" t="n">
        <v>2791050</v>
      </c>
      <c r="E10" s="6" t="n">
        <v>1094988.1</v>
      </c>
      <c r="F10" s="5"/>
      <c r="G10" s="5"/>
      <c r="H10" s="5"/>
      <c r="I10" s="5"/>
      <c r="J10" s="5"/>
      <c r="K10" s="5"/>
      <c r="L10" s="6" t="n">
        <v>3828494.6</v>
      </c>
      <c r="M10" s="6" t="n">
        <v>4378353.4</v>
      </c>
      <c r="N10" s="6" t="n">
        <v>0</v>
      </c>
      <c r="O10" s="6" t="n">
        <v>1494914.3</v>
      </c>
      <c r="P10" s="6" t="n">
        <v>1650706.9</v>
      </c>
      <c r="Q10" s="7" t="n">
        <f aca="false">SUM(B10:P10)</f>
        <v>15805450.2</v>
      </c>
    </row>
    <row r="11" customFormat="false" ht="15" hidden="false" customHeight="false" outlineLevel="0" collapsed="false">
      <c r="A11" s="4" t="s">
        <v>8</v>
      </c>
      <c r="B11" s="6" t="n">
        <v>657438.1</v>
      </c>
      <c r="C11" s="6" t="n">
        <v>404619.2</v>
      </c>
      <c r="D11" s="6" t="n">
        <v>2499573.7</v>
      </c>
      <c r="E11" s="6" t="n">
        <v>5802466.8</v>
      </c>
      <c r="F11" s="5"/>
      <c r="G11" s="5"/>
      <c r="H11" s="5"/>
      <c r="I11" s="5"/>
      <c r="J11" s="5"/>
      <c r="K11" s="5"/>
      <c r="L11" s="6" t="n">
        <v>5481346</v>
      </c>
      <c r="M11" s="6" t="n">
        <v>6268591.9</v>
      </c>
      <c r="N11" s="6" t="n">
        <v>3471786</v>
      </c>
      <c r="O11" s="6" t="n">
        <v>1189867</v>
      </c>
      <c r="P11" s="6" t="n">
        <v>2600864</v>
      </c>
      <c r="Q11" s="7" t="n">
        <f aca="false">SUM(B11:P11)</f>
        <v>28376552.7</v>
      </c>
    </row>
    <row r="12" customFormat="false" ht="15" hidden="false" customHeight="false" outlineLevel="0" collapsed="false">
      <c r="A12" s="4" t="s">
        <v>9</v>
      </c>
      <c r="B12" s="6" t="n">
        <v>2274584</v>
      </c>
      <c r="C12" s="6" t="n">
        <v>69502</v>
      </c>
      <c r="D12" s="6" t="n">
        <v>1420893</v>
      </c>
      <c r="E12" s="6" t="n">
        <v>4590194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7" t="n">
        <f aca="false">SUM(B12:P12)</f>
        <v>8355173</v>
      </c>
    </row>
    <row r="13" customFormat="false" ht="15" hidden="false" customHeight="false" outlineLevel="0" collapsed="false">
      <c r="A13" s="4" t="s">
        <v>10</v>
      </c>
      <c r="B13" s="6" t="n">
        <v>5032373.1</v>
      </c>
      <c r="C13" s="6" t="n">
        <v>1343494.6</v>
      </c>
      <c r="D13" s="6" t="n">
        <v>2070260.4</v>
      </c>
      <c r="E13" s="6" t="n">
        <v>13706904.6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 t="n">
        <f aca="false">SUM(B13:P13)</f>
        <v>22153032.7</v>
      </c>
    </row>
    <row r="14" customFormat="false" ht="15" hidden="false" customHeight="false" outlineLevel="0" collapsed="false">
      <c r="A14" s="4" t="s">
        <v>11</v>
      </c>
      <c r="B14" s="5"/>
      <c r="C14" s="5"/>
      <c r="D14" s="5"/>
      <c r="E14" s="5"/>
      <c r="F14" s="5"/>
      <c r="G14" s="5"/>
      <c r="H14" s="5"/>
      <c r="I14" s="5"/>
      <c r="J14" s="6" t="n">
        <v>4087714</v>
      </c>
      <c r="K14" s="6" t="n">
        <v>10391010.1</v>
      </c>
      <c r="L14" s="5"/>
      <c r="M14" s="5"/>
      <c r="N14" s="6" t="n">
        <v>651747</v>
      </c>
      <c r="O14" s="6" t="n">
        <v>747239</v>
      </c>
      <c r="P14" s="5"/>
      <c r="Q14" s="7" t="n">
        <f aca="false">SUM(B14:P14)</f>
        <v>15877710.1</v>
      </c>
    </row>
    <row r="15" customFormat="false" ht="15" hidden="false" customHeight="false" outlineLevel="0" collapsed="false">
      <c r="A15" s="4" t="s">
        <v>12</v>
      </c>
      <c r="B15" s="5"/>
      <c r="C15" s="5"/>
      <c r="D15" s="5"/>
      <c r="E15" s="5"/>
      <c r="F15" s="5"/>
      <c r="G15" s="5"/>
      <c r="H15" s="5"/>
      <c r="I15" s="5"/>
      <c r="J15" s="6" t="n">
        <v>4267459</v>
      </c>
      <c r="K15" s="6" t="n">
        <v>11762022.5</v>
      </c>
      <c r="L15" s="5"/>
      <c r="M15" s="5"/>
      <c r="N15" s="6" t="n">
        <v>721553</v>
      </c>
      <c r="O15" s="6" t="n">
        <v>1328425</v>
      </c>
      <c r="P15" s="5"/>
      <c r="Q15" s="7" t="n">
        <f aca="false">SUM(B15:P15)</f>
        <v>18079459.5</v>
      </c>
    </row>
    <row r="16" customFormat="false" ht="15" hidden="false" customHeight="false" outlineLevel="0" collapsed="false">
      <c r="A16" s="4" t="s">
        <v>13</v>
      </c>
      <c r="B16" s="6" t="n">
        <v>34139.3</v>
      </c>
      <c r="C16" s="6" t="n">
        <v>162892.4</v>
      </c>
      <c r="D16" s="6" t="n">
        <v>204426.3</v>
      </c>
      <c r="E16" s="6" t="n">
        <v>667193.6</v>
      </c>
      <c r="F16" s="5"/>
      <c r="G16" s="5"/>
      <c r="H16" s="5"/>
      <c r="I16" s="5"/>
      <c r="J16" s="5"/>
      <c r="K16" s="5"/>
      <c r="L16" s="6" t="n">
        <v>953636.5</v>
      </c>
      <c r="M16" s="6" t="n">
        <v>1069949.6</v>
      </c>
      <c r="N16" s="5"/>
      <c r="O16" s="6" t="n">
        <v>67645.8</v>
      </c>
      <c r="P16" s="6" t="n">
        <v>248560.6</v>
      </c>
      <c r="Q16" s="7" t="n">
        <f aca="false">SUM(B16:P16)</f>
        <v>3408444.1</v>
      </c>
    </row>
    <row r="17" customFormat="false" ht="15" hidden="false" customHeight="false" outlineLevel="0" collapsed="false">
      <c r="A17" s="4" t="s">
        <v>14</v>
      </c>
      <c r="B17" s="5"/>
      <c r="C17" s="5"/>
      <c r="D17" s="5"/>
      <c r="E17" s="5"/>
      <c r="F17" s="6" t="n">
        <v>432552.4</v>
      </c>
      <c r="G17" s="6" t="n">
        <v>861828.1</v>
      </c>
      <c r="H17" s="6" t="n">
        <v>2988490.8</v>
      </c>
      <c r="I17" s="6" t="n">
        <v>941636.6</v>
      </c>
      <c r="J17" s="5"/>
      <c r="K17" s="5"/>
      <c r="L17" s="5"/>
      <c r="M17" s="5"/>
      <c r="N17" s="6" t="n">
        <v>112600</v>
      </c>
      <c r="O17" s="5"/>
      <c r="P17" s="5"/>
      <c r="Q17" s="7" t="n">
        <f aca="false">SUM(B17:P17)</f>
        <v>5337107.9</v>
      </c>
    </row>
    <row r="18" customFormat="false" ht="15" hidden="false" customHeight="false" outlineLevel="0" collapsed="false">
      <c r="A18" s="4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8" t="n">
        <f aca="false">Q14-(SUM(L4:L17))</f>
        <v>2994870.7</v>
      </c>
      <c r="M18" s="8" t="n">
        <f aca="false">Q15-(SUM(M4:M17))</f>
        <v>3367002.3</v>
      </c>
      <c r="N18" s="8" t="n">
        <f aca="false">Q16-(SUM(N4:N17))</f>
        <v>-1549241.9</v>
      </c>
      <c r="O18" s="8" t="n">
        <f aca="false">Q17-(SUM(O4:O17))</f>
        <v>402349.899999999</v>
      </c>
      <c r="P18" s="5"/>
      <c r="Q18" s="7" t="n">
        <f aca="false">SUM(B18:P18)</f>
        <v>5214981</v>
      </c>
    </row>
    <row r="19" customFormat="false" ht="15" hidden="false" customHeight="false" outlineLevel="0" collapsed="false">
      <c r="A19" s="4" t="s">
        <v>16</v>
      </c>
      <c r="B19" s="7" t="n">
        <f aca="false">SUM(B4:B18)</f>
        <v>9778515.1</v>
      </c>
      <c r="C19" s="7" t="n">
        <f aca="false">SUM(C4:C18)</f>
        <v>3828311.7</v>
      </c>
      <c r="D19" s="7" t="n">
        <f aca="false">SUM(D4:D18)</f>
        <v>12816959.5</v>
      </c>
      <c r="E19" s="7" t="n">
        <f aca="false">SUM(E4:E18)</f>
        <v>27434916.1</v>
      </c>
      <c r="F19" s="7" t="n">
        <f aca="false">SUM(F4:F18)</f>
        <v>10211067.4</v>
      </c>
      <c r="G19" s="7" t="n">
        <f aca="false">SUM(G4:G18)</f>
        <v>4690139.8</v>
      </c>
      <c r="H19" s="7" t="n">
        <f aca="false">SUM(H4:H18)</f>
        <v>15805450.2</v>
      </c>
      <c r="I19" s="7" t="n">
        <f aca="false">SUM(I4:I18)</f>
        <v>28376552.6</v>
      </c>
      <c r="J19" s="7" t="n">
        <f aca="false">SUM(J4:J18)</f>
        <v>8355173</v>
      </c>
      <c r="K19" s="7" t="n">
        <f aca="false">SUM(K4:K18)</f>
        <v>22153032.6</v>
      </c>
      <c r="L19" s="7" t="n">
        <f aca="false">SUM(L4:L18)</f>
        <v>15877710.1</v>
      </c>
      <c r="M19" s="7" t="n">
        <f aca="false">SUM(M4:M18)</f>
        <v>18079459.5</v>
      </c>
      <c r="N19" s="7" t="n">
        <f aca="false">SUM(N4:N18)</f>
        <v>3408444.1</v>
      </c>
      <c r="O19" s="7" t="n">
        <f aca="false">SUM(O4:O18)</f>
        <v>5337107.9</v>
      </c>
      <c r="P19" s="7" t="n">
        <f aca="false">SUM(P4:P18)</f>
        <v>5214980.9</v>
      </c>
    </row>
    <row r="20" customFormat="false" ht="15" hidden="false" customHeight="false" outlineLevel="0" collapsed="false">
      <c r="A20" s="9" t="s">
        <v>17</v>
      </c>
      <c r="B20" s="10" t="n">
        <f aca="false">Q4-B19</f>
        <v>-0.099999999627471</v>
      </c>
      <c r="C20" s="10" t="n">
        <f aca="false">Q5-C19</f>
        <v>0</v>
      </c>
      <c r="D20" s="10" t="n">
        <f aca="false">Q6-D19</f>
        <v>-0.100000001490116</v>
      </c>
      <c r="E20" s="10" t="n">
        <f aca="false">Q7-E19</f>
        <v>-0.100000001490116</v>
      </c>
      <c r="F20" s="10" t="n">
        <f aca="false">Q8-F19</f>
        <v>0</v>
      </c>
      <c r="G20" s="10" t="n">
        <f aca="false">Q9-G19</f>
        <v>0</v>
      </c>
      <c r="H20" s="10" t="n">
        <f aca="false">Q10-H19</f>
        <v>0</v>
      </c>
      <c r="I20" s="10" t="n">
        <f aca="false">Q11-I19</f>
        <v>0.0999999977648258</v>
      </c>
      <c r="J20" s="10" t="n">
        <f aca="false">Q12-J19</f>
        <v>0</v>
      </c>
      <c r="K20" s="10" t="n">
        <f aca="false">Q13-K19</f>
        <v>0.0999999977648258</v>
      </c>
      <c r="L20" s="10" t="n">
        <f aca="false">Q14-L19</f>
        <v>0</v>
      </c>
      <c r="M20" s="10" t="n">
        <f aca="false">Q15-M19</f>
        <v>0</v>
      </c>
      <c r="N20" s="10" t="n">
        <f aca="false">Q16-N19</f>
        <v>0</v>
      </c>
      <c r="O20" s="10" t="n">
        <f aca="false">Q17-O19</f>
        <v>0</v>
      </c>
      <c r="P20" s="10" t="n">
        <f aca="false">Q18-P19</f>
        <v>0.0999999977648258</v>
      </c>
    </row>
    <row r="22" customFormat="false" ht="15" hidden="false" customHeight="false" outlineLevel="0" collapsed="false">
      <c r="A22" s="11" t="s">
        <v>18</v>
      </c>
    </row>
    <row r="23" customFormat="false" ht="15" hidden="false" customHeight="false" outlineLevel="0" collapsed="false">
      <c r="A23" s="11" t="s">
        <v>19</v>
      </c>
    </row>
    <row r="24" customFormat="false" ht="15" hidden="false" customHeight="false" outlineLevel="0" collapsed="false">
      <c r="A24" s="1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2026-09-24T15:40:11Z</dcterms:created>
  <dc:creator>openpyxl</dc:creator>
  <dc:description/>
  <dc:language>en-US</dc:language>
  <cp:lastModifiedBy/>
  <dcterms:modified xsi:type="dcterms:W3CDTF">2026-09-24T15:40:11Z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